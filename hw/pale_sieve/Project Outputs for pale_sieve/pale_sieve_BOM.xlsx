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eodote\Documents\! Senor Year Project\Senior-Project\hw\pale_sieve\Project Outputs for pale_sieve\"/>
    </mc:Choice>
  </mc:AlternateContent>
  <xr:revisionPtr revIDLastSave="0" documentId="13_ncr:1_{FC01B549-AFDA-4054-87C6-F10B7E7A039A}" xr6:coauthVersionLast="47" xr6:coauthVersionMax="47" xr10:uidLastSave="{00000000-0000-0000-0000-000000000000}"/>
  <bookViews>
    <workbookView xWindow="-120" yWindow="-120" windowWidth="29040" windowHeight="16440" activeTab="2" xr2:uid="{F3872228-F089-4B77-AA7D-8A0A89C0607C}"/>
  </bookViews>
  <sheets>
    <sheet name="pale_sieve_BOM" sheetId="1" r:id="rId1"/>
    <sheet name="Sheet1" sheetId="2" r:id="rId2"/>
    <sheet name="Sheet2" sheetId="3" r:id="rId3"/>
  </sheets>
  <definedNames>
    <definedName name="_xlnm.Print_Titles" localSheetId="0">pale_sieve_BOM!$1:$1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3" l="1"/>
  <c r="D6" i="3"/>
  <c r="D15" i="3" s="1"/>
  <c r="F24" i="2"/>
  <c r="F23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" i="2"/>
</calcChain>
</file>

<file path=xl/sharedStrings.xml><?xml version="1.0" encoding="utf-8"?>
<sst xmlns="http://schemas.openxmlformats.org/spreadsheetml/2006/main" count="240" uniqueCount="156">
  <si>
    <t>Comment</t>
  </si>
  <si>
    <t>Description</t>
  </si>
  <si>
    <t>Designator</t>
  </si>
  <si>
    <t>Footprint</t>
  </si>
  <si>
    <t>LibRef</t>
  </si>
  <si>
    <t>Quantity</t>
  </si>
  <si>
    <t>4p7 C0G</t>
  </si>
  <si>
    <t>Multilayer Ceramic Capacitors MLCC - SMD/SMT 50V 4.7pF C0G 0603 5% Tol Ultra Low ESR</t>
  </si>
  <si>
    <t>C1</t>
  </si>
  <si>
    <t>C0603</t>
  </si>
  <si>
    <t>06035U4R7JAT2A</t>
  </si>
  <si>
    <t>10u X7T</t>
  </si>
  <si>
    <t/>
  </si>
  <si>
    <t>C2, C5, C10</t>
  </si>
  <si>
    <t>CGA3EDX7T1A106M080AU</t>
  </si>
  <si>
    <t>4u7 PET</t>
  </si>
  <si>
    <t>Film Capacitor, Polyethylene Terephthalate, 100V, 10% +Tol, 10% -Tol, 4.7uF, Surface Mount, 6054</t>
  </si>
  <si>
    <t>C3, C8</t>
  </si>
  <si>
    <t>6054 WIMA</t>
  </si>
  <si>
    <t>SMDTD04470YA00KS00</t>
  </si>
  <si>
    <t>47n C0G</t>
  </si>
  <si>
    <t>Ceramic Capacitor, Multilayer, Ceramic, 25V, 2% +Tol, 2% -Tol, C0G, -/+30ppm/Cel TC, 0.047uF, Surface Mount, 0805</t>
  </si>
  <si>
    <t>C4, C6, C9, C11</t>
  </si>
  <si>
    <t>C0805</t>
  </si>
  <si>
    <t>C0805C473G3GECAUTO</t>
  </si>
  <si>
    <t>1u X5R</t>
  </si>
  <si>
    <t>Ceramic Capacitor, Multilayer, Ceramic, 16V, 10% +Tol, 10% -Tol, X5R, 15% TC, 1uF, Surface Mount, 0603</t>
  </si>
  <si>
    <t>C7</t>
  </si>
  <si>
    <t>0603YD105KAT2A</t>
  </si>
  <si>
    <t>10n X7R</t>
  </si>
  <si>
    <t>Ceramic Capacitor, Multilayer, Ceramic, 50V, 10% +Tol, 10% -Tol, X7R, 15% TC, 0.01uF, Surface Mount, 0603</t>
  </si>
  <si>
    <t>C12</t>
  </si>
  <si>
    <t>GCM188R71H103KA37J</t>
  </si>
  <si>
    <t>1n X8G</t>
  </si>
  <si>
    <t>C13, C14</t>
  </si>
  <si>
    <t>C0603C102J2TACAUTO</t>
  </si>
  <si>
    <t>1N4148WS</t>
  </si>
  <si>
    <t>Rectifier Diode, 1 Phase, 1 Element, 0.15A, 100V V(RRM), Silicon</t>
  </si>
  <si>
    <t>D1, D2</t>
  </si>
  <si>
    <t>SOD-323</t>
  </si>
  <si>
    <t>Quadrature Encoder</t>
  </si>
  <si>
    <t>Rotary Position Encoder</t>
  </si>
  <si>
    <t>ENC1</t>
  </si>
  <si>
    <t>PEC11L</t>
  </si>
  <si>
    <t>PEC11L-4120F-S0020</t>
  </si>
  <si>
    <t>TRRS 3.5mm</t>
  </si>
  <si>
    <t>3.5 mm, Stereo, Right Angle, Surface Mount (SMT), Audio Jack Connector</t>
  </si>
  <si>
    <t>J1, J2</t>
  </si>
  <si>
    <t>SJ2-35894B-SMT</t>
  </si>
  <si>
    <t>SJ2-35894B-SMT-TR</t>
  </si>
  <si>
    <t>10x2.54mm</t>
  </si>
  <si>
    <t>J3</t>
  </si>
  <si>
    <t>1X10 2.54MM</t>
  </si>
  <si>
    <t>8x2.54mm</t>
  </si>
  <si>
    <t>J4, J5</t>
  </si>
  <si>
    <t>1x8 2.54MM</t>
  </si>
  <si>
    <t>6x2.54mm</t>
  </si>
  <si>
    <t>J6</t>
  </si>
  <si>
    <t>1X6 2.54MM</t>
  </si>
  <si>
    <t>Normally open</t>
  </si>
  <si>
    <t>JP1, JP2, JP3, JP4, JP5, JP6, JP7, JP8, JP9, JP10, JP11, JP12, JP13, JP14</t>
  </si>
  <si>
    <t>SB 1.0x1.5mm</t>
  </si>
  <si>
    <t>SolderBridge</t>
  </si>
  <si>
    <t>1.75mm Light Pipe</t>
  </si>
  <si>
    <t>LP1</t>
  </si>
  <si>
    <t>PTH 1.75MM</t>
  </si>
  <si>
    <t>LightPipe</t>
  </si>
  <si>
    <t>1k</t>
  </si>
  <si>
    <t>Fixed Resistor, Metal Glaze/thick Film, 0.1W, 1000ohm, 75V, 1% +/-Tol, 100ppm/Cel, Surface Mount, 0603</t>
  </si>
  <si>
    <t>R1, R11, R13</t>
  </si>
  <si>
    <t>R0603</t>
  </si>
  <si>
    <t>CRCW06031K00FKEI</t>
  </si>
  <si>
    <t>2k2</t>
  </si>
  <si>
    <t>Fixed Resistor, Metal Glaze/thick Film, 0.1W, 2200ohm, 75V, 1% +/-Tol, 100ppm/Cel, Surface Mount, 0603</t>
  </si>
  <si>
    <t>R2</t>
  </si>
  <si>
    <t>CRCW06032K20FKEA</t>
  </si>
  <si>
    <t>150R</t>
  </si>
  <si>
    <t>Fixed Resistor, Metal Glaze/thick Film, 0.1W, 150ohm, 75V, 1% +/-Tol, 100ppm/Cel, Surface Mount, 0603</t>
  </si>
  <si>
    <t>R3, R4, R6, R7</t>
  </si>
  <si>
    <t>CRCW0603150RFKEA</t>
  </si>
  <si>
    <t>470R</t>
  </si>
  <si>
    <t>Fixed Resistor, Metal Glaze/thick Film, 0.1W, 470ohm, 75V, 1% +/-Tol, 100ppm/Cel, Surface Mount, 0603</t>
  </si>
  <si>
    <t>R5</t>
  </si>
  <si>
    <t>CRCW0603470RFKEC</t>
  </si>
  <si>
    <t>47k</t>
  </si>
  <si>
    <t>Fixed Resistor, Metal Glaze/thick Film, 0.1W, 47000ohm, 75V, 1% +/-Tol, 100ppm/Cel, Surface Mount, 0603</t>
  </si>
  <si>
    <t>R8, R9, R10</t>
  </si>
  <si>
    <t>CRCW060347K0FKEA</t>
  </si>
  <si>
    <t>10k</t>
  </si>
  <si>
    <t>Fixed Resistor, Metal Glaze/thick Film, 0.1W, 10000ohm, 75V, 1% +/-Tol, 100ppm/Cel, Surface Mount, 0603</t>
  </si>
  <si>
    <t>R12</t>
  </si>
  <si>
    <t>CRCW060310K0FKEA</t>
  </si>
  <si>
    <t>PTH 0.75mm</t>
  </si>
  <si>
    <t>TP1, TP2, TP3, TP4, TP5, TP6, TP7, TP8, TP9, TP10, TP11, TP12, TP13, TP14, TP15, TP16, TP17</t>
  </si>
  <si>
    <t>PTH 0.7MM</t>
  </si>
  <si>
    <t>TestPoint</t>
  </si>
  <si>
    <t>OPA2323</t>
  </si>
  <si>
    <t>U1, U2</t>
  </si>
  <si>
    <t>SOIC-8 D</t>
  </si>
  <si>
    <t>OPA2323IDR</t>
  </si>
  <si>
    <t>1M</t>
  </si>
  <si>
    <t>Trimmer, Cermet, 0.04W, 1000000ohm, 200V, 20% +/-Tol, 100ppm/Cel, 1 Turn(s)</t>
  </si>
  <si>
    <t>VR1</t>
  </si>
  <si>
    <t>TS53YL</t>
  </si>
  <si>
    <t>TS53YL105MR10</t>
  </si>
  <si>
    <t>200k</t>
  </si>
  <si>
    <t>Trimmer, Cermet, 0.2W, 200000ohm, 200V, 20% +/-Tol, 100ppm/Cel, 1 Turn(s)</t>
  </si>
  <si>
    <t>VR2</t>
  </si>
  <si>
    <t>TS53YL204MR10</t>
  </si>
  <si>
    <t>Trimmer, Cermet, 0.25W, 1000ohm, 15.8V, 20% +/-Tol, 100ppm/Cel, 1 Turn(s)</t>
  </si>
  <si>
    <t>VR3</t>
  </si>
  <si>
    <t>TS53YL102MR10</t>
  </si>
  <si>
    <t>Component</t>
  </si>
  <si>
    <t>MPN</t>
  </si>
  <si>
    <t>J3, J4, J5, J6</t>
  </si>
  <si>
    <t>Designators</t>
  </si>
  <si>
    <t>Cost</t>
  </si>
  <si>
    <t>Pricing</t>
  </si>
  <si>
    <t>Total</t>
  </si>
  <si>
    <t>61303211121</t>
  </si>
  <si>
    <t>C1608X5R1A106K080AC</t>
  </si>
  <si>
    <t>10u X5R</t>
  </si>
  <si>
    <t>TRRS 3.5mm socket</t>
  </si>
  <si>
    <t>32x2.54mm pin header</t>
  </si>
  <si>
    <t xml:space="preserve">NUCLEO-F446RE </t>
  </si>
  <si>
    <t>-</t>
  </si>
  <si>
    <t>Item</t>
  </si>
  <si>
    <t>Expected cost</t>
  </si>
  <si>
    <t>Actual cost</t>
  </si>
  <si>
    <t>Reflow hotplate</t>
  </si>
  <si>
    <t>Remark</t>
  </si>
  <si>
    <t>Unused</t>
  </si>
  <si>
    <t>PCB orders</t>
  </si>
  <si>
    <t>Component BOM</t>
  </si>
  <si>
    <t>Software licenses</t>
  </si>
  <si>
    <t>Overleaf subscription</t>
  </si>
  <si>
    <t>Expenses</t>
  </si>
  <si>
    <t>Proposed</t>
  </si>
  <si>
    <t>Additional</t>
  </si>
  <si>
    <t>Audio cables</t>
  </si>
  <si>
    <t>TRS-only jacks</t>
  </si>
  <si>
    <t>Power bank</t>
  </si>
  <si>
    <t>Already on hand</t>
  </si>
  <si>
    <t>Tapestry needles</t>
  </si>
  <si>
    <t>Sourced locally</t>
  </si>
  <si>
    <t>2x QTY redundancy</t>
  </si>
  <si>
    <t>Prototype</t>
  </si>
  <si>
    <t>AD3 Audio Adapter+</t>
  </si>
  <si>
    <t>Total:</t>
  </si>
  <si>
    <t>Soldering iron</t>
  </si>
  <si>
    <t>used instead</t>
  </si>
  <si>
    <t>Incl. delivery</t>
  </si>
  <si>
    <t>No re-spins</t>
  </si>
  <si>
    <t>sans 1 devboard</t>
  </si>
  <si>
    <t>Breadboardable</t>
  </si>
  <si>
    <t>THT components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</si>
</sst>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* #,##0.00_-;\-&quot;€&quot;* #,##0.00_-;_-&quot;€&quot;* &quot;-&quot;??_-;_-@_-"/>
    <numFmt numFmtId="164" formatCode="_-[$€-2]\ * #,##0.00_-;\-[$€-2]\ * #,##0.00_-;_-[$€-2]\ * &quot;-&quot;??_-;_-@_-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u/>
      <sz val="11"/>
      <color theme="10"/>
      <name val="Aptos Narrow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44" fontId="3" fillId="0" borderId="0" applyFont="0" applyFill="0" applyBorder="0" applyAlignment="0" applyProtection="0"/>
  </cellStyleXfs>
  <cellXfs count="20">
    <xf numFmtId="0" fontId="0" fillId="0" borderId="0" xfId="0"/>
    <xf numFmtId="0" fontId="0" fillId="0" borderId="1" xfId="0" applyBorder="1"/>
    <xf numFmtId="0" fontId="0" fillId="0" borderId="1" xfId="0" quotePrefix="1" applyBorder="1"/>
    <xf numFmtId="0" fontId="0" fillId="2" borderId="1" xfId="0" applyFill="1" applyBorder="1"/>
    <xf numFmtId="0" fontId="0" fillId="2" borderId="0" xfId="0" applyFill="1"/>
    <xf numFmtId="0" fontId="1" fillId="0" borderId="0" xfId="1"/>
    <xf numFmtId="0" fontId="1" fillId="0" borderId="0" xfId="1" quotePrefix="1"/>
    <xf numFmtId="0" fontId="0" fillId="0" borderId="2" xfId="0" applyBorder="1"/>
    <xf numFmtId="0" fontId="0" fillId="0" borderId="3" xfId="0" applyBorder="1"/>
    <xf numFmtId="0" fontId="0" fillId="0" borderId="4" xfId="0" applyBorder="1"/>
    <xf numFmtId="164" fontId="0" fillId="0" borderId="5" xfId="0" applyNumberFormat="1" applyBorder="1"/>
    <xf numFmtId="0" fontId="0" fillId="0" borderId="6" xfId="0" quotePrefix="1" applyBorder="1"/>
    <xf numFmtId="0" fontId="0" fillId="0" borderId="6" xfId="0" applyBorder="1"/>
    <xf numFmtId="0" fontId="0" fillId="0" borderId="7" xfId="0" applyBorder="1"/>
    <xf numFmtId="164" fontId="0" fillId="0" borderId="4" xfId="0" applyNumberFormat="1" applyBorder="1"/>
    <xf numFmtId="164" fontId="1" fillId="0" borderId="5" xfId="1" quotePrefix="1" applyNumberFormat="1" applyBorder="1"/>
    <xf numFmtId="164" fontId="1" fillId="0" borderId="5" xfId="1" applyNumberFormat="1" applyBorder="1"/>
    <xf numFmtId="0" fontId="1" fillId="0" borderId="6" xfId="1" quotePrefix="1" applyBorder="1"/>
    <xf numFmtId="44" fontId="0" fillId="0" borderId="0" xfId="3" applyFont="1"/>
    <xf numFmtId="0" fontId="0" fillId="0" borderId="0" xfId="0" applyAlignment="1">
      <alignment horizontal="left"/>
    </xf>
  </cellXfs>
  <cellStyles count="4">
    <cellStyle name="Currency" xfId="3" builtinId="4"/>
    <cellStyle name="Hyperlink 2" xfId="2" xr:uid="{A1D6D72A-4659-4C61-9E18-6B312DB1B669}"/>
    <cellStyle name="Normal" xfId="0" builtinId="0"/>
    <cellStyle name="Normal 2" xfId="1" xr:uid="{C6053113-6FFB-4396-BF3F-B71262893F1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73942-AFE6-4E82-9D25-D0D46C5A1938}">
  <dimension ref="A1:F27"/>
  <sheetViews>
    <sheetView workbookViewId="0">
      <selection activeCell="D35" sqref="D35"/>
    </sheetView>
  </sheetViews>
  <sheetFormatPr defaultRowHeight="14.25"/>
  <cols>
    <col min="1" max="6" width="17.375" customWidth="1"/>
  </cols>
  <sheetData>
    <row r="1" spans="1:6" s="4" customForma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1">
        <v>1</v>
      </c>
    </row>
    <row r="3" spans="1:6">
      <c r="A3" s="2" t="s">
        <v>11</v>
      </c>
      <c r="B3" s="2" t="s">
        <v>12</v>
      </c>
      <c r="C3" s="2" t="s">
        <v>13</v>
      </c>
      <c r="D3" s="2" t="s">
        <v>9</v>
      </c>
      <c r="E3" s="2" t="s">
        <v>14</v>
      </c>
      <c r="F3" s="1">
        <v>3</v>
      </c>
    </row>
    <row r="4" spans="1:6">
      <c r="A4" s="2" t="s">
        <v>15</v>
      </c>
      <c r="B4" s="2" t="s">
        <v>16</v>
      </c>
      <c r="C4" s="2" t="s">
        <v>17</v>
      </c>
      <c r="D4" s="2" t="s">
        <v>18</v>
      </c>
      <c r="E4" s="2" t="s">
        <v>19</v>
      </c>
      <c r="F4" s="1">
        <v>2</v>
      </c>
    </row>
    <row r="5" spans="1:6">
      <c r="A5" s="2" t="s">
        <v>20</v>
      </c>
      <c r="B5" s="2" t="s">
        <v>21</v>
      </c>
      <c r="C5" s="2" t="s">
        <v>22</v>
      </c>
      <c r="D5" s="2" t="s">
        <v>23</v>
      </c>
      <c r="E5" s="2" t="s">
        <v>24</v>
      </c>
      <c r="F5" s="1">
        <v>4</v>
      </c>
    </row>
    <row r="6" spans="1:6">
      <c r="A6" s="2" t="s">
        <v>25</v>
      </c>
      <c r="B6" s="2" t="s">
        <v>26</v>
      </c>
      <c r="C6" s="2" t="s">
        <v>27</v>
      </c>
      <c r="D6" s="2" t="s">
        <v>9</v>
      </c>
      <c r="E6" s="2" t="s">
        <v>28</v>
      </c>
      <c r="F6" s="1">
        <v>1</v>
      </c>
    </row>
    <row r="7" spans="1:6">
      <c r="A7" s="2" t="s">
        <v>29</v>
      </c>
      <c r="B7" s="2" t="s">
        <v>30</v>
      </c>
      <c r="C7" s="2" t="s">
        <v>31</v>
      </c>
      <c r="D7" s="2" t="s">
        <v>9</v>
      </c>
      <c r="E7" s="2" t="s">
        <v>32</v>
      </c>
      <c r="F7" s="1">
        <v>1</v>
      </c>
    </row>
    <row r="8" spans="1:6">
      <c r="A8" s="2" t="s">
        <v>33</v>
      </c>
      <c r="B8" s="2" t="s">
        <v>12</v>
      </c>
      <c r="C8" s="2" t="s">
        <v>34</v>
      </c>
      <c r="D8" s="2" t="s">
        <v>9</v>
      </c>
      <c r="E8" s="2" t="s">
        <v>35</v>
      </c>
      <c r="F8" s="1">
        <v>2</v>
      </c>
    </row>
    <row r="9" spans="1:6">
      <c r="A9" s="2" t="s">
        <v>36</v>
      </c>
      <c r="B9" s="2" t="s">
        <v>37</v>
      </c>
      <c r="C9" s="2" t="s">
        <v>38</v>
      </c>
      <c r="D9" s="2" t="s">
        <v>39</v>
      </c>
      <c r="E9" s="2" t="s">
        <v>36</v>
      </c>
      <c r="F9" s="1">
        <v>2</v>
      </c>
    </row>
    <row r="10" spans="1:6">
      <c r="A10" s="2" t="s">
        <v>40</v>
      </c>
      <c r="B10" s="2" t="s">
        <v>41</v>
      </c>
      <c r="C10" s="2" t="s">
        <v>42</v>
      </c>
      <c r="D10" s="2" t="s">
        <v>43</v>
      </c>
      <c r="E10" s="2" t="s">
        <v>44</v>
      </c>
      <c r="F10" s="1">
        <v>1</v>
      </c>
    </row>
    <row r="11" spans="1:6">
      <c r="A11" s="2" t="s">
        <v>45</v>
      </c>
      <c r="B11" s="2" t="s">
        <v>46</v>
      </c>
      <c r="C11" s="2" t="s">
        <v>47</v>
      </c>
      <c r="D11" s="2" t="s">
        <v>48</v>
      </c>
      <c r="E11" s="2" t="s">
        <v>49</v>
      </c>
      <c r="F11" s="1">
        <v>2</v>
      </c>
    </row>
    <row r="12" spans="1:6">
      <c r="A12" s="2" t="s">
        <v>50</v>
      </c>
      <c r="B12" s="2" t="s">
        <v>12</v>
      </c>
      <c r="C12" s="2" t="s">
        <v>51</v>
      </c>
      <c r="D12" s="2" t="s">
        <v>52</v>
      </c>
      <c r="E12" s="2" t="s">
        <v>50</v>
      </c>
      <c r="F12" s="1">
        <v>1</v>
      </c>
    </row>
    <row r="13" spans="1:6">
      <c r="A13" s="2" t="s">
        <v>53</v>
      </c>
      <c r="B13" s="2" t="s">
        <v>12</v>
      </c>
      <c r="C13" s="2" t="s">
        <v>54</v>
      </c>
      <c r="D13" s="2" t="s">
        <v>55</v>
      </c>
      <c r="E13" s="2" t="s">
        <v>53</v>
      </c>
      <c r="F13" s="1">
        <v>2</v>
      </c>
    </row>
    <row r="14" spans="1:6">
      <c r="A14" s="2" t="s">
        <v>56</v>
      </c>
      <c r="B14" s="2" t="s">
        <v>12</v>
      </c>
      <c r="C14" s="2" t="s">
        <v>57</v>
      </c>
      <c r="D14" s="2" t="s">
        <v>58</v>
      </c>
      <c r="E14" s="2" t="s">
        <v>56</v>
      </c>
      <c r="F14" s="1">
        <v>1</v>
      </c>
    </row>
    <row r="15" spans="1:6">
      <c r="A15" s="2" t="s">
        <v>59</v>
      </c>
      <c r="B15" s="2" t="s">
        <v>12</v>
      </c>
      <c r="C15" s="2" t="s">
        <v>60</v>
      </c>
      <c r="D15" s="2" t="s">
        <v>61</v>
      </c>
      <c r="E15" s="2" t="s">
        <v>62</v>
      </c>
      <c r="F15" s="1">
        <v>14</v>
      </c>
    </row>
    <row r="16" spans="1:6">
      <c r="A16" s="2" t="s">
        <v>63</v>
      </c>
      <c r="B16" s="2" t="s">
        <v>12</v>
      </c>
      <c r="C16" s="2" t="s">
        <v>64</v>
      </c>
      <c r="D16" s="2" t="s">
        <v>65</v>
      </c>
      <c r="E16" s="2" t="s">
        <v>66</v>
      </c>
      <c r="F16" s="1">
        <v>1</v>
      </c>
    </row>
    <row r="17" spans="1:6">
      <c r="A17" s="2" t="s">
        <v>67</v>
      </c>
      <c r="B17" s="2" t="s">
        <v>68</v>
      </c>
      <c r="C17" s="2" t="s">
        <v>69</v>
      </c>
      <c r="D17" s="2" t="s">
        <v>70</v>
      </c>
      <c r="E17" s="2" t="s">
        <v>71</v>
      </c>
      <c r="F17" s="1">
        <v>3</v>
      </c>
    </row>
    <row r="18" spans="1:6">
      <c r="A18" s="2" t="s">
        <v>72</v>
      </c>
      <c r="B18" s="2" t="s">
        <v>73</v>
      </c>
      <c r="C18" s="2" t="s">
        <v>74</v>
      </c>
      <c r="D18" s="2" t="s">
        <v>70</v>
      </c>
      <c r="E18" s="2" t="s">
        <v>75</v>
      </c>
      <c r="F18" s="1">
        <v>1</v>
      </c>
    </row>
    <row r="19" spans="1:6">
      <c r="A19" s="2" t="s">
        <v>76</v>
      </c>
      <c r="B19" s="2" t="s">
        <v>77</v>
      </c>
      <c r="C19" s="2" t="s">
        <v>78</v>
      </c>
      <c r="D19" s="2" t="s">
        <v>70</v>
      </c>
      <c r="E19" s="2" t="s">
        <v>79</v>
      </c>
      <c r="F19" s="1">
        <v>4</v>
      </c>
    </row>
    <row r="20" spans="1:6">
      <c r="A20" s="2" t="s">
        <v>80</v>
      </c>
      <c r="B20" s="2" t="s">
        <v>81</v>
      </c>
      <c r="C20" s="2" t="s">
        <v>82</v>
      </c>
      <c r="D20" s="2" t="s">
        <v>70</v>
      </c>
      <c r="E20" s="2" t="s">
        <v>83</v>
      </c>
      <c r="F20" s="1">
        <v>1</v>
      </c>
    </row>
    <row r="21" spans="1:6">
      <c r="A21" s="2" t="s">
        <v>84</v>
      </c>
      <c r="B21" s="2" t="s">
        <v>85</v>
      </c>
      <c r="C21" s="2" t="s">
        <v>86</v>
      </c>
      <c r="D21" s="2" t="s">
        <v>70</v>
      </c>
      <c r="E21" s="2" t="s">
        <v>87</v>
      </c>
      <c r="F21" s="1">
        <v>3</v>
      </c>
    </row>
    <row r="22" spans="1:6">
      <c r="A22" s="2" t="s">
        <v>88</v>
      </c>
      <c r="B22" s="2" t="s">
        <v>89</v>
      </c>
      <c r="C22" s="2" t="s">
        <v>90</v>
      </c>
      <c r="D22" s="2" t="s">
        <v>70</v>
      </c>
      <c r="E22" s="2" t="s">
        <v>91</v>
      </c>
      <c r="F22" s="1">
        <v>1</v>
      </c>
    </row>
    <row r="23" spans="1:6">
      <c r="A23" s="2" t="s">
        <v>92</v>
      </c>
      <c r="B23" s="2" t="s">
        <v>12</v>
      </c>
      <c r="C23" s="2" t="s">
        <v>93</v>
      </c>
      <c r="D23" s="2" t="s">
        <v>94</v>
      </c>
      <c r="E23" s="2" t="s">
        <v>95</v>
      </c>
      <c r="F23" s="1">
        <v>17</v>
      </c>
    </row>
    <row r="24" spans="1:6">
      <c r="A24" s="2" t="s">
        <v>96</v>
      </c>
      <c r="B24" s="2" t="s">
        <v>12</v>
      </c>
      <c r="C24" s="2" t="s">
        <v>97</v>
      </c>
      <c r="D24" s="2" t="s">
        <v>98</v>
      </c>
      <c r="E24" s="2" t="s">
        <v>99</v>
      </c>
      <c r="F24" s="1">
        <v>2</v>
      </c>
    </row>
    <row r="25" spans="1:6">
      <c r="A25" s="2" t="s">
        <v>100</v>
      </c>
      <c r="B25" s="2" t="s">
        <v>101</v>
      </c>
      <c r="C25" s="2" t="s">
        <v>102</v>
      </c>
      <c r="D25" s="2" t="s">
        <v>103</v>
      </c>
      <c r="E25" s="2" t="s">
        <v>104</v>
      </c>
      <c r="F25" s="1">
        <v>1</v>
      </c>
    </row>
    <row r="26" spans="1:6">
      <c r="A26" s="2" t="s">
        <v>105</v>
      </c>
      <c r="B26" s="2" t="s">
        <v>106</v>
      </c>
      <c r="C26" s="2" t="s">
        <v>107</v>
      </c>
      <c r="D26" s="2" t="s">
        <v>103</v>
      </c>
      <c r="E26" s="2" t="s">
        <v>108</v>
      </c>
      <c r="F26" s="1">
        <v>1</v>
      </c>
    </row>
    <row r="27" spans="1:6">
      <c r="A27" s="2" t="s">
        <v>67</v>
      </c>
      <c r="B27" s="2" t="s">
        <v>109</v>
      </c>
      <c r="C27" s="2" t="s">
        <v>110</v>
      </c>
      <c r="D27" s="2" t="s">
        <v>103</v>
      </c>
      <c r="E27" s="2" t="s">
        <v>111</v>
      </c>
      <c r="F27" s="1">
        <v>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155E3-36D6-4BE7-87C1-DE4CA76A81B4}">
  <dimension ref="A1:O24"/>
  <sheetViews>
    <sheetView workbookViewId="0">
      <selection activeCell="C33" sqref="C33"/>
    </sheetView>
  </sheetViews>
  <sheetFormatPr defaultRowHeight="14.25"/>
  <cols>
    <col min="1" max="1" width="19.75" bestFit="1" customWidth="1"/>
    <col min="2" max="2" width="14.5" bestFit="1" customWidth="1"/>
    <col min="3" max="3" width="23.875" bestFit="1" customWidth="1"/>
    <col min="4" max="4" width="7.625" bestFit="1" customWidth="1"/>
    <col min="5" max="6" width="8.125" bestFit="1" customWidth="1"/>
    <col min="8" max="8" width="22.375" bestFit="1" customWidth="1"/>
  </cols>
  <sheetData>
    <row r="1" spans="1:15">
      <c r="A1" s="1" t="s">
        <v>112</v>
      </c>
      <c r="B1" s="1" t="s">
        <v>115</v>
      </c>
      <c r="C1" s="1" t="s">
        <v>113</v>
      </c>
      <c r="D1" s="1" t="s">
        <v>5</v>
      </c>
      <c r="E1" s="9" t="s">
        <v>117</v>
      </c>
      <c r="F1" s="9" t="s">
        <v>116</v>
      </c>
    </row>
    <row r="2" spans="1:15">
      <c r="A2" s="11" t="s">
        <v>6</v>
      </c>
      <c r="B2" s="11" t="s">
        <v>8</v>
      </c>
      <c r="C2" s="11" t="s">
        <v>10</v>
      </c>
      <c r="D2" s="12">
        <v>1</v>
      </c>
      <c r="E2" s="15">
        <v>0.371</v>
      </c>
      <c r="F2" s="10">
        <f>D2*E2</f>
        <v>0.371</v>
      </c>
      <c r="H2" s="6"/>
      <c r="I2" s="5"/>
      <c r="J2" s="6"/>
      <c r="K2" s="5"/>
      <c r="L2" s="5"/>
      <c r="M2" s="5"/>
      <c r="N2" s="5"/>
    </row>
    <row r="3" spans="1:15">
      <c r="A3" s="11" t="s">
        <v>121</v>
      </c>
      <c r="B3" s="11" t="s">
        <v>13</v>
      </c>
      <c r="C3" s="17" t="s">
        <v>120</v>
      </c>
      <c r="D3" s="12">
        <v>3</v>
      </c>
      <c r="E3" s="15">
        <v>0.22800000000000001</v>
      </c>
      <c r="F3" s="10">
        <f t="shared" ref="F3:F23" si="0">D3*E3</f>
        <v>0.68400000000000005</v>
      </c>
    </row>
    <row r="4" spans="1:15">
      <c r="A4" s="11" t="s">
        <v>15</v>
      </c>
      <c r="B4" s="11" t="s">
        <v>17</v>
      </c>
      <c r="C4" s="11" t="s">
        <v>19</v>
      </c>
      <c r="D4" s="12">
        <v>2</v>
      </c>
      <c r="E4" s="15">
        <v>2.95</v>
      </c>
      <c r="F4" s="10">
        <f t="shared" si="0"/>
        <v>5.9</v>
      </c>
      <c r="H4" s="6"/>
      <c r="I4" s="5"/>
      <c r="J4" s="6"/>
      <c r="K4" s="5"/>
      <c r="L4" s="5"/>
      <c r="M4" s="5"/>
      <c r="N4" s="5"/>
      <c r="O4" s="6"/>
    </row>
    <row r="5" spans="1:15">
      <c r="A5" s="11" t="s">
        <v>20</v>
      </c>
      <c r="B5" s="11" t="s">
        <v>22</v>
      </c>
      <c r="C5" s="11" t="s">
        <v>24</v>
      </c>
      <c r="D5" s="12">
        <v>4</v>
      </c>
      <c r="E5" s="15">
        <v>0.81699999999999995</v>
      </c>
      <c r="F5" s="10">
        <f t="shared" si="0"/>
        <v>3.2679999999999998</v>
      </c>
      <c r="H5" s="6"/>
      <c r="I5" s="5"/>
      <c r="J5" s="6"/>
      <c r="K5" s="5"/>
      <c r="L5" s="5"/>
      <c r="M5" s="5"/>
      <c r="N5" s="5"/>
      <c r="O5" s="6"/>
    </row>
    <row r="6" spans="1:15">
      <c r="A6" s="11" t="s">
        <v>25</v>
      </c>
      <c r="B6" s="11" t="s">
        <v>27</v>
      </c>
      <c r="C6" s="11" t="s">
        <v>28</v>
      </c>
      <c r="D6" s="12">
        <v>1</v>
      </c>
      <c r="E6" s="15">
        <v>0.114</v>
      </c>
      <c r="F6" s="10">
        <f t="shared" si="0"/>
        <v>0.114</v>
      </c>
      <c r="H6" s="6"/>
      <c r="I6" s="5"/>
      <c r="J6" s="6"/>
      <c r="K6" s="5"/>
      <c r="L6" s="5"/>
      <c r="M6" s="5"/>
      <c r="N6" s="5"/>
      <c r="O6" s="6"/>
    </row>
    <row r="7" spans="1:15">
      <c r="A7" s="11" t="s">
        <v>29</v>
      </c>
      <c r="B7" s="11" t="s">
        <v>31</v>
      </c>
      <c r="C7" s="11" t="s">
        <v>32</v>
      </c>
      <c r="D7" s="12">
        <v>1</v>
      </c>
      <c r="E7" s="15">
        <v>0.114</v>
      </c>
      <c r="F7" s="10">
        <f t="shared" si="0"/>
        <v>0.114</v>
      </c>
      <c r="H7" s="6"/>
      <c r="I7" s="5"/>
      <c r="J7" s="6"/>
      <c r="K7" s="5"/>
      <c r="L7" s="5"/>
      <c r="M7" s="5"/>
      <c r="N7" s="5"/>
      <c r="O7" s="6"/>
    </row>
    <row r="8" spans="1:15">
      <c r="A8" s="11" t="s">
        <v>33</v>
      </c>
      <c r="B8" s="11" t="s">
        <v>34</v>
      </c>
      <c r="C8" s="11" t="s">
        <v>35</v>
      </c>
      <c r="D8" s="12">
        <v>2</v>
      </c>
      <c r="E8" s="15">
        <v>0.52300000000000002</v>
      </c>
      <c r="F8" s="10">
        <f t="shared" si="0"/>
        <v>1.046</v>
      </c>
      <c r="H8" s="6"/>
      <c r="I8" s="5"/>
      <c r="J8" s="6"/>
      <c r="K8" s="5"/>
      <c r="L8" s="5"/>
      <c r="M8" s="5"/>
      <c r="N8" s="5"/>
      <c r="O8" s="6"/>
    </row>
    <row r="9" spans="1:15">
      <c r="A9" s="11" t="s">
        <v>36</v>
      </c>
      <c r="B9" s="11" t="s">
        <v>38</v>
      </c>
      <c r="C9" s="11" t="s">
        <v>36</v>
      </c>
      <c r="D9" s="12">
        <v>2</v>
      </c>
      <c r="E9" s="15">
        <v>0.105</v>
      </c>
      <c r="F9" s="10">
        <f t="shared" si="0"/>
        <v>0.21</v>
      </c>
      <c r="H9" s="6"/>
      <c r="I9" s="5"/>
      <c r="J9" s="6"/>
      <c r="K9" s="5"/>
      <c r="L9" s="5"/>
      <c r="M9" s="5"/>
      <c r="N9" s="5"/>
      <c r="O9" s="6"/>
    </row>
    <row r="10" spans="1:15">
      <c r="A10" s="11" t="s">
        <v>40</v>
      </c>
      <c r="B10" s="11" t="s">
        <v>42</v>
      </c>
      <c r="C10" s="11" t="s">
        <v>44</v>
      </c>
      <c r="D10" s="12">
        <v>1</v>
      </c>
      <c r="E10" s="15">
        <v>2.2000000000000002</v>
      </c>
      <c r="F10" s="10">
        <f t="shared" si="0"/>
        <v>2.2000000000000002</v>
      </c>
      <c r="H10" s="6"/>
      <c r="I10" s="5"/>
      <c r="J10" s="6"/>
      <c r="K10" s="5"/>
      <c r="L10" s="5"/>
      <c r="M10" s="5"/>
      <c r="N10" s="5"/>
      <c r="O10" s="6"/>
    </row>
    <row r="11" spans="1:15">
      <c r="A11" s="11" t="s">
        <v>122</v>
      </c>
      <c r="B11" s="11" t="s">
        <v>47</v>
      </c>
      <c r="C11" s="11" t="s">
        <v>49</v>
      </c>
      <c r="D11" s="12">
        <v>2</v>
      </c>
      <c r="E11" s="15">
        <v>1.24</v>
      </c>
      <c r="F11" s="10">
        <f t="shared" si="0"/>
        <v>2.48</v>
      </c>
      <c r="H11" s="6"/>
      <c r="I11" s="5"/>
      <c r="J11" s="6"/>
      <c r="K11" s="5"/>
      <c r="L11" s="5"/>
      <c r="M11" s="5"/>
      <c r="N11" s="5"/>
      <c r="O11" s="6"/>
    </row>
    <row r="12" spans="1:15">
      <c r="A12" s="11" t="s">
        <v>123</v>
      </c>
      <c r="B12" s="11" t="s">
        <v>114</v>
      </c>
      <c r="C12" s="11" t="s">
        <v>119</v>
      </c>
      <c r="D12" s="12">
        <v>1</v>
      </c>
      <c r="E12" s="15">
        <v>2.11</v>
      </c>
      <c r="F12" s="10">
        <f t="shared" si="0"/>
        <v>2.11</v>
      </c>
      <c r="H12" s="6"/>
      <c r="I12" s="5"/>
      <c r="J12" s="6"/>
      <c r="K12" s="5"/>
      <c r="L12" s="5"/>
      <c r="M12" s="5"/>
      <c r="N12" s="5"/>
      <c r="O12" s="6"/>
    </row>
    <row r="13" spans="1:15">
      <c r="A13" s="11" t="s">
        <v>67</v>
      </c>
      <c r="B13" s="11" t="s">
        <v>69</v>
      </c>
      <c r="C13" s="11" t="s">
        <v>71</v>
      </c>
      <c r="D13" s="12">
        <v>3</v>
      </c>
      <c r="E13" s="15">
        <v>0.114</v>
      </c>
      <c r="F13" s="10">
        <f t="shared" si="0"/>
        <v>0.34200000000000003</v>
      </c>
      <c r="H13" s="6"/>
      <c r="I13" s="5"/>
      <c r="J13" s="6"/>
      <c r="K13" s="5"/>
      <c r="L13" s="5"/>
      <c r="M13" s="5"/>
      <c r="N13" s="5"/>
      <c r="O13" s="6"/>
    </row>
    <row r="14" spans="1:15">
      <c r="A14" s="11" t="s">
        <v>72</v>
      </c>
      <c r="B14" s="11" t="s">
        <v>74</v>
      </c>
      <c r="C14" s="11" t="s">
        <v>75</v>
      </c>
      <c r="D14" s="12">
        <v>1</v>
      </c>
      <c r="E14" s="15">
        <v>9.5000000000000001E-2</v>
      </c>
      <c r="F14" s="10">
        <f t="shared" si="0"/>
        <v>9.5000000000000001E-2</v>
      </c>
      <c r="H14" s="6"/>
      <c r="I14" s="5"/>
      <c r="J14" s="6"/>
      <c r="K14" s="5"/>
      <c r="L14" s="5"/>
      <c r="M14" s="5"/>
      <c r="N14" s="5"/>
      <c r="O14" s="6"/>
    </row>
    <row r="15" spans="1:15">
      <c r="A15" s="11" t="s">
        <v>76</v>
      </c>
      <c r="B15" s="11" t="s">
        <v>78</v>
      </c>
      <c r="C15" s="11" t="s">
        <v>79</v>
      </c>
      <c r="D15" s="12">
        <v>4</v>
      </c>
      <c r="E15" s="15">
        <v>9.5000000000000001E-2</v>
      </c>
      <c r="F15" s="10">
        <f t="shared" si="0"/>
        <v>0.38</v>
      </c>
      <c r="H15" s="6"/>
      <c r="I15" s="5"/>
      <c r="J15" s="6"/>
      <c r="K15" s="5"/>
      <c r="L15" s="5"/>
      <c r="M15" s="5"/>
      <c r="N15" s="5"/>
      <c r="O15" s="6"/>
    </row>
    <row r="16" spans="1:15">
      <c r="A16" s="11" t="s">
        <v>80</v>
      </c>
      <c r="B16" s="11" t="s">
        <v>82</v>
      </c>
      <c r="C16" s="11" t="s">
        <v>83</v>
      </c>
      <c r="D16" s="12">
        <v>1</v>
      </c>
      <c r="E16" s="15">
        <v>9.5000000000000001E-2</v>
      </c>
      <c r="F16" s="10">
        <f t="shared" si="0"/>
        <v>9.5000000000000001E-2</v>
      </c>
      <c r="H16" s="6"/>
      <c r="I16" s="5"/>
      <c r="J16" s="6"/>
      <c r="K16" s="5"/>
      <c r="L16" s="5"/>
      <c r="M16" s="5"/>
      <c r="N16" s="5"/>
      <c r="O16" s="6"/>
    </row>
    <row r="17" spans="1:15">
      <c r="A17" s="11" t="s">
        <v>84</v>
      </c>
      <c r="B17" s="11" t="s">
        <v>86</v>
      </c>
      <c r="C17" s="11" t="s">
        <v>87</v>
      </c>
      <c r="D17" s="12">
        <v>3</v>
      </c>
      <c r="E17" s="15">
        <v>9.5000000000000001E-2</v>
      </c>
      <c r="F17" s="10">
        <f t="shared" si="0"/>
        <v>0.28500000000000003</v>
      </c>
      <c r="H17" s="6"/>
      <c r="I17" s="5"/>
      <c r="J17" s="6"/>
      <c r="K17" s="5"/>
      <c r="L17" s="5"/>
      <c r="M17" s="5"/>
      <c r="N17" s="5"/>
      <c r="O17" s="6"/>
    </row>
    <row r="18" spans="1:15">
      <c r="A18" s="11" t="s">
        <v>88</v>
      </c>
      <c r="B18" s="11" t="s">
        <v>90</v>
      </c>
      <c r="C18" s="11" t="s">
        <v>91</v>
      </c>
      <c r="D18" s="12">
        <v>1</v>
      </c>
      <c r="E18" s="15">
        <v>9.5000000000000001E-2</v>
      </c>
      <c r="F18" s="10">
        <f t="shared" si="0"/>
        <v>9.5000000000000001E-2</v>
      </c>
      <c r="H18" s="6"/>
      <c r="I18" s="5"/>
      <c r="J18" s="6"/>
      <c r="K18" s="5"/>
      <c r="L18" s="5"/>
      <c r="M18" s="5"/>
      <c r="N18" s="5"/>
      <c r="O18" s="6"/>
    </row>
    <row r="19" spans="1:15">
      <c r="A19" s="11" t="s">
        <v>96</v>
      </c>
      <c r="B19" s="11" t="s">
        <v>97</v>
      </c>
      <c r="C19" s="11" t="s">
        <v>99</v>
      </c>
      <c r="D19" s="12">
        <v>2</v>
      </c>
      <c r="E19" s="15">
        <v>1.57</v>
      </c>
      <c r="F19" s="10">
        <f t="shared" si="0"/>
        <v>3.14</v>
      </c>
      <c r="H19" s="6"/>
      <c r="I19" s="5"/>
      <c r="J19" s="6"/>
      <c r="K19" s="5"/>
      <c r="L19" s="5"/>
      <c r="M19" s="5"/>
      <c r="N19" s="5"/>
      <c r="O19" s="6"/>
    </row>
    <row r="20" spans="1:15">
      <c r="A20" s="11" t="s">
        <v>100</v>
      </c>
      <c r="B20" s="11" t="s">
        <v>102</v>
      </c>
      <c r="C20" s="11" t="s">
        <v>104</v>
      </c>
      <c r="D20" s="12">
        <v>1</v>
      </c>
      <c r="E20" s="15">
        <v>2.58</v>
      </c>
      <c r="F20" s="10">
        <f t="shared" si="0"/>
        <v>2.58</v>
      </c>
      <c r="H20" s="6"/>
      <c r="I20" s="5"/>
      <c r="J20" s="6"/>
      <c r="K20" s="5"/>
      <c r="L20" s="5"/>
      <c r="M20" s="5"/>
      <c r="N20" s="5"/>
      <c r="O20" s="6"/>
    </row>
    <row r="21" spans="1:15">
      <c r="A21" s="11" t="s">
        <v>105</v>
      </c>
      <c r="B21" s="11" t="s">
        <v>107</v>
      </c>
      <c r="C21" s="11" t="s">
        <v>108</v>
      </c>
      <c r="D21" s="12">
        <v>1</v>
      </c>
      <c r="E21" s="15">
        <v>2.58</v>
      </c>
      <c r="F21" s="10">
        <f t="shared" si="0"/>
        <v>2.58</v>
      </c>
      <c r="H21" s="6"/>
      <c r="I21" s="5"/>
      <c r="J21" s="6"/>
      <c r="K21" s="5"/>
      <c r="L21" s="5"/>
      <c r="M21" s="5"/>
      <c r="N21" s="5"/>
      <c r="O21" s="6"/>
    </row>
    <row r="22" spans="1:15">
      <c r="A22" s="11" t="s">
        <v>67</v>
      </c>
      <c r="B22" s="11" t="s">
        <v>110</v>
      </c>
      <c r="C22" s="11" t="s">
        <v>111</v>
      </c>
      <c r="D22" s="12">
        <v>1</v>
      </c>
      <c r="E22" s="15">
        <v>2.58</v>
      </c>
      <c r="F22" s="10">
        <f t="shared" si="0"/>
        <v>2.58</v>
      </c>
      <c r="H22" s="6"/>
      <c r="I22" s="5"/>
      <c r="J22" s="6"/>
      <c r="K22" s="5"/>
      <c r="L22" s="5"/>
      <c r="M22" s="5"/>
      <c r="N22" s="5"/>
      <c r="O22" s="6"/>
    </row>
    <row r="23" spans="1:15">
      <c r="A23" s="12" t="s">
        <v>124</v>
      </c>
      <c r="B23" s="13" t="s">
        <v>125</v>
      </c>
      <c r="C23" s="13" t="s">
        <v>124</v>
      </c>
      <c r="D23" s="13">
        <v>1</v>
      </c>
      <c r="E23" s="16">
        <v>14.11</v>
      </c>
      <c r="F23" s="10">
        <f t="shared" si="0"/>
        <v>14.11</v>
      </c>
      <c r="I23" s="5"/>
      <c r="J23" s="6"/>
      <c r="K23" s="5"/>
      <c r="L23" s="5"/>
      <c r="M23" s="5"/>
      <c r="N23" s="5"/>
    </row>
    <row r="24" spans="1:15">
      <c r="A24" s="7"/>
      <c r="B24" s="8"/>
      <c r="C24" s="8"/>
      <c r="D24" s="8"/>
      <c r="E24" s="9" t="s">
        <v>118</v>
      </c>
      <c r="F24" s="14">
        <f>SUM(F2:F23)</f>
        <v>44.778999999999989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DEA6C-A11A-42A3-8D8B-FF3E234BCDD9}">
  <dimension ref="A1:E15"/>
  <sheetViews>
    <sheetView tabSelected="1" workbookViewId="0">
      <selection sqref="A1:E15"/>
    </sheetView>
  </sheetViews>
  <sheetFormatPr defaultRowHeight="14.25"/>
  <cols>
    <col min="1" max="1" width="9" bestFit="1" customWidth="1"/>
    <col min="2" max="2" width="18" bestFit="1" customWidth="1"/>
    <col min="3" max="3" width="12.5" bestFit="1" customWidth="1"/>
    <col min="4" max="4" width="9.875" bestFit="1" customWidth="1"/>
  </cols>
  <sheetData>
    <row r="1" spans="1:5">
      <c r="A1" t="s">
        <v>136</v>
      </c>
      <c r="B1" t="s">
        <v>126</v>
      </c>
      <c r="C1" t="s">
        <v>127</v>
      </c>
      <c r="D1" t="s">
        <v>128</v>
      </c>
      <c r="E1" t="s">
        <v>130</v>
      </c>
    </row>
    <row r="2" spans="1:5">
      <c r="A2" s="19" t="s">
        <v>137</v>
      </c>
      <c r="B2" t="s">
        <v>129</v>
      </c>
      <c r="C2" s="18">
        <v>100</v>
      </c>
      <c r="D2" s="18">
        <v>0</v>
      </c>
      <c r="E2" t="s">
        <v>149</v>
      </c>
    </row>
    <row r="3" spans="1:5">
      <c r="A3" s="19"/>
      <c r="C3" s="18"/>
      <c r="D3" s="18"/>
      <c r="E3" t="s">
        <v>150</v>
      </c>
    </row>
    <row r="4" spans="1:5">
      <c r="A4" s="19"/>
      <c r="B4" t="s">
        <v>132</v>
      </c>
      <c r="C4" s="18">
        <v>100</v>
      </c>
      <c r="D4" s="18">
        <v>51</v>
      </c>
      <c r="E4" t="s">
        <v>151</v>
      </c>
    </row>
    <row r="5" spans="1:5">
      <c r="A5" s="19"/>
      <c r="C5" s="18"/>
      <c r="D5" s="18"/>
      <c r="E5" t="s">
        <v>152</v>
      </c>
    </row>
    <row r="6" spans="1:5">
      <c r="A6" s="19"/>
      <c r="B6" t="s">
        <v>133</v>
      </c>
      <c r="C6" s="18">
        <v>50</v>
      </c>
      <c r="D6" s="18">
        <f>44.78*2-14.11</f>
        <v>75.45</v>
      </c>
      <c r="E6" t="s">
        <v>145</v>
      </c>
    </row>
    <row r="7" spans="1:5">
      <c r="A7" s="19"/>
      <c r="C7" s="18"/>
      <c r="D7" s="18"/>
      <c r="E7" t="s">
        <v>153</v>
      </c>
    </row>
    <row r="8" spans="1:5">
      <c r="A8" s="19"/>
      <c r="B8" t="s">
        <v>134</v>
      </c>
      <c r="C8" s="18">
        <v>0</v>
      </c>
      <c r="D8" s="18">
        <v>10</v>
      </c>
      <c r="E8" t="s">
        <v>135</v>
      </c>
    </row>
    <row r="9" spans="1:5">
      <c r="A9" s="19" t="s">
        <v>138</v>
      </c>
      <c r="B9" t="s">
        <v>139</v>
      </c>
      <c r="C9" s="18"/>
      <c r="D9" s="18">
        <v>30</v>
      </c>
      <c r="E9" t="s">
        <v>144</v>
      </c>
    </row>
    <row r="10" spans="1:5">
      <c r="A10" s="19"/>
      <c r="B10" t="s">
        <v>141</v>
      </c>
      <c r="C10" s="18"/>
      <c r="D10" s="18">
        <v>0</v>
      </c>
      <c r="E10" t="s">
        <v>142</v>
      </c>
    </row>
    <row r="11" spans="1:5">
      <c r="A11" s="19"/>
      <c r="B11" t="s">
        <v>143</v>
      </c>
      <c r="C11" s="18"/>
      <c r="D11" s="18">
        <v>10</v>
      </c>
      <c r="E11" t="s">
        <v>144</v>
      </c>
    </row>
    <row r="12" spans="1:5">
      <c r="A12" s="19"/>
      <c r="B12" t="s">
        <v>146</v>
      </c>
      <c r="C12" s="18"/>
      <c r="D12" s="18">
        <v>40</v>
      </c>
      <c r="E12" t="s">
        <v>154</v>
      </c>
    </row>
    <row r="13" spans="1:5">
      <c r="A13" s="19"/>
      <c r="C13" s="18"/>
      <c r="D13" s="18"/>
      <c r="E13" t="s">
        <v>155</v>
      </c>
    </row>
    <row r="14" spans="1:5">
      <c r="A14" t="s">
        <v>131</v>
      </c>
      <c r="B14" t="s">
        <v>147</v>
      </c>
      <c r="C14" s="18"/>
      <c r="D14" s="18">
        <v>28.49</v>
      </c>
      <c r="E14" t="s">
        <v>140</v>
      </c>
    </row>
    <row r="15" spans="1:5">
      <c r="B15" t="s">
        <v>148</v>
      </c>
      <c r="C15" s="18">
        <f>SUM(C2:C14)</f>
        <v>250</v>
      </c>
      <c r="D15" s="18">
        <f>SUM(D2:D14)</f>
        <v>244.94</v>
      </c>
    </row>
  </sheetData>
  <mergeCells count="2">
    <mergeCell ref="A2:A8"/>
    <mergeCell ref="A9:A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pale_sieve_BOM</vt:lpstr>
      <vt:lpstr>Sheet1</vt:lpstr>
      <vt:lpstr>Sheet2</vt:lpstr>
      <vt:lpstr>pale_sieve_BOM!Print_Titles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Bogdan Reshetnikov</dc:creator>
  <cp:lastModifiedBy>Bogdan Reshetnikov</cp:lastModifiedBy>
  <dcterms:created xsi:type="dcterms:W3CDTF">2025-05-12T20:37:33Z</dcterms:created>
  <dcterms:modified xsi:type="dcterms:W3CDTF">2025-06-05T10:52:18Z</dcterms:modified>
</cp:coreProperties>
</file>